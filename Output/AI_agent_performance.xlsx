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1\OneDrive - ΠΑΝΕΠΙΣΤΗΜΙΟ ΙΩΑΝΝΙΝΩΝ\Επιφάνεια εργασίας\intelligencia-ai-driven-automation-for-real-time-drug-development-monitoring\Output\"/>
    </mc:Choice>
  </mc:AlternateContent>
  <xr:revisionPtr revIDLastSave="0" documentId="13_ncr:1_{6ADAB0C9-0EFB-4B03-A17A-0FD76CA44277}" xr6:coauthVersionLast="47" xr6:coauthVersionMax="47" xr10:uidLastSave="{00000000-0000-0000-0000-000000000000}"/>
  <bookViews>
    <workbookView xWindow="390" yWindow="390" windowWidth="21600" windowHeight="11385" xr2:uid="{B61DC2CD-70A5-4E9D-B153-20FE54031720}"/>
  </bookViews>
  <sheets>
    <sheet name="data" sheetId="1" r:id="rId1"/>
    <sheet name="performance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" i="3"/>
  <c r="I2" i="3"/>
  <c r="H2" i="3"/>
</calcChain>
</file>

<file path=xl/sharedStrings.xml><?xml version="1.0" encoding="utf-8"?>
<sst xmlns="http://schemas.openxmlformats.org/spreadsheetml/2006/main" count="19" uniqueCount="15">
  <si>
    <t>pmid</t>
  </si>
  <si>
    <t>actual status</t>
  </si>
  <si>
    <t>predicted status</t>
  </si>
  <si>
    <t>miss-match reason</t>
  </si>
  <si>
    <t>follow-up</t>
  </si>
  <si>
    <t>Καταμέτρηση από pmid</t>
  </si>
  <si>
    <t>Precision</t>
  </si>
  <si>
    <t>Recall</t>
  </si>
  <si>
    <t>Accuracy</t>
  </si>
  <si>
    <t>Actual</t>
  </si>
  <si>
    <t>Predicted</t>
  </si>
  <si>
    <t>Total</t>
  </si>
  <si>
    <t>0.7</t>
  </si>
  <si>
    <t>0.8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</si>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</sst>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Κανονικό" xfId="0" builtinId="0"/>
  </cellStyles>
  <dxfs count="4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2.553060416663" createdVersion="8" refreshedVersion="8" minRefreshableVersion="3" recordCount="14" xr:uid="{81EF31BE-9B75-4512-925E-A4757C2AF079}">
  <cacheSource type="worksheet">
    <worksheetSource ref="A1:C15" sheet="data"/>
  </cacheSource>
  <cacheFields count="3">
    <cacheField name="pmid" numFmtId="0">
      <sharedItems containsSemiMixedTypes="0" containsString="0" containsNumber="1" containsInteger="1" minValue="40174692" maxValue="40906325"/>
    </cacheField>
    <cacheField name="actual status" numFmtId="0">
      <sharedItems containsSemiMixedTypes="0" containsString="0" containsNumber="1" containsInteger="1" minValue="0" maxValue="1" count="2">
        <n v="1"/>
        <n v="0"/>
      </sharedItems>
    </cacheField>
    <cacheField name="predicted statu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40412494"/>
    <x v="0"/>
    <x v="0"/>
  </r>
  <r>
    <n v="40899626"/>
    <x v="0"/>
    <x v="1"/>
  </r>
  <r>
    <n v="40479620"/>
    <x v="0"/>
    <x v="0"/>
  </r>
  <r>
    <n v="40397470"/>
    <x v="0"/>
    <x v="0"/>
  </r>
  <r>
    <n v="40755230"/>
    <x v="1"/>
    <x v="1"/>
  </r>
  <r>
    <n v="40720058"/>
    <x v="1"/>
    <x v="1"/>
  </r>
  <r>
    <n v="40645660"/>
    <x v="1"/>
    <x v="1"/>
  </r>
  <r>
    <n v="40615599"/>
    <x v="1"/>
    <x v="1"/>
  </r>
  <r>
    <n v="40554387"/>
    <x v="1"/>
    <x v="1"/>
  </r>
  <r>
    <n v="40447230"/>
    <x v="1"/>
    <x v="1"/>
  </r>
  <r>
    <n v="40450573"/>
    <x v="0"/>
    <x v="0"/>
  </r>
  <r>
    <n v="40174692"/>
    <x v="0"/>
    <x v="0"/>
  </r>
  <r>
    <n v="40906325"/>
    <x v="1"/>
    <x v="1"/>
  </r>
  <r>
    <n v="40410537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2AA7C-AFE9-4162-9F6B-EDEEB3DC3755}" name="Συγκεντρωτικός Πίνακας2" cacheId="0" applyNumberFormats="0" applyBorderFormats="0" applyFontFormats="0" applyPatternFormats="0" applyAlignmentFormats="0" applyWidthHeightFormats="1" dataCaption="Τιμές" grandTotalCaption="Total" updatedVersion="8" minRefreshableVersion="3" useAutoFormatting="1" itemPrintTitles="1" createdVersion="8" indent="0" outline="1" outlineData="1" multipleFieldFilters="0" chartFormat="1" rowHeaderCaption="Actual" colHeaderCaption="Predicted">
  <location ref="A1:D5" firstHeaderRow="1" firstDataRow="2" firstDataCol="1"/>
  <pivotFields count="3">
    <pivotField dataField="1"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Καταμέτρηση από pmid" fld="0" subtotal="count" baseField="1" baseItem="0"/>
  </dataFields>
  <formats count="2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2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2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2" count="0"/>
        </references>
      </pivotArea>
    </format>
    <format dxfId="19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91DD-1E3E-4B70-800C-E447CC5038AA}">
  <dimension ref="A1:F23"/>
  <sheetViews>
    <sheetView tabSelected="1" workbookViewId="0">
      <selection activeCell="C21" sqref="C21"/>
    </sheetView>
  </sheetViews>
  <sheetFormatPr defaultColWidth="8.7109375" defaultRowHeight="15" x14ac:dyDescent="0.25"/>
  <cols>
    <col min="1" max="1" width="8.85546875" style="1" bestFit="1" customWidth="1"/>
    <col min="2" max="2" width="11.42578125" style="1" bestFit="1" customWidth="1"/>
    <col min="3" max="3" width="14.140625" style="1" bestFit="1" customWidth="1"/>
    <col min="4" max="4" width="16.42578125" style="1" bestFit="1" customWidth="1"/>
    <col min="5" max="5" width="8.7109375" style="1"/>
    <col min="6" max="6" width="87.42578125" style="1" bestFit="1" customWidth="1"/>
    <col min="7" max="7" width="9.28515625" style="1" bestFit="1" customWidth="1"/>
    <col min="8" max="16384" width="8.71093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40412494</v>
      </c>
      <c r="B2" s="1">
        <v>1</v>
      </c>
      <c r="C2" s="1">
        <v>1</v>
      </c>
    </row>
    <row r="3" spans="1:4" x14ac:dyDescent="0.25">
      <c r="A3" s="1">
        <v>40899626</v>
      </c>
      <c r="B3" s="1">
        <v>1</v>
      </c>
      <c r="C3" s="1">
        <v>0</v>
      </c>
      <c r="D3" s="1" t="s">
        <v>4</v>
      </c>
    </row>
    <row r="4" spans="1:4" x14ac:dyDescent="0.25">
      <c r="A4" s="1">
        <v>40479620</v>
      </c>
      <c r="B4" s="1">
        <v>1</v>
      </c>
      <c r="C4" s="1">
        <v>1</v>
      </c>
    </row>
    <row r="5" spans="1:4" x14ac:dyDescent="0.25">
      <c r="A5" s="1">
        <v>40397470</v>
      </c>
      <c r="B5" s="1">
        <v>1</v>
      </c>
      <c r="C5" s="1">
        <v>1</v>
      </c>
    </row>
    <row r="6" spans="1:4" x14ac:dyDescent="0.25">
      <c r="A6" s="1">
        <v>40755230</v>
      </c>
      <c r="B6" s="1">
        <v>0</v>
      </c>
      <c r="C6" s="1">
        <v>0</v>
      </c>
    </row>
    <row r="7" spans="1:4" x14ac:dyDescent="0.25">
      <c r="A7" s="1">
        <v>40720058</v>
      </c>
      <c r="B7" s="1">
        <v>0</v>
      </c>
      <c r="C7" s="1">
        <v>0</v>
      </c>
    </row>
    <row r="8" spans="1:4" x14ac:dyDescent="0.25">
      <c r="A8" s="1">
        <v>40645660</v>
      </c>
      <c r="B8" s="1">
        <v>0</v>
      </c>
      <c r="C8" s="1">
        <v>0</v>
      </c>
    </row>
    <row r="9" spans="1:4" x14ac:dyDescent="0.25">
      <c r="A9" s="1">
        <v>40615599</v>
      </c>
      <c r="B9" s="1">
        <v>0</v>
      </c>
      <c r="C9" s="1">
        <v>0</v>
      </c>
    </row>
    <row r="10" spans="1:4" x14ac:dyDescent="0.25">
      <c r="A10" s="1">
        <v>40554387</v>
      </c>
      <c r="B10" s="1">
        <v>0</v>
      </c>
      <c r="C10" s="1">
        <v>0</v>
      </c>
    </row>
    <row r="11" spans="1:4" x14ac:dyDescent="0.25">
      <c r="A11" s="5">
        <v>40447230</v>
      </c>
      <c r="B11" s="5">
        <v>0</v>
      </c>
      <c r="C11" s="5">
        <v>0</v>
      </c>
    </row>
    <row r="12" spans="1:4" x14ac:dyDescent="0.25">
      <c r="A12" s="5">
        <v>40450573</v>
      </c>
      <c r="B12" s="5">
        <v>1</v>
      </c>
      <c r="C12" s="5">
        <v>1</v>
      </c>
    </row>
    <row r="13" spans="1:4" x14ac:dyDescent="0.25">
      <c r="A13" s="5">
        <v>40174692</v>
      </c>
      <c r="B13" s="5">
        <v>1</v>
      </c>
      <c r="C13" s="5">
        <v>1</v>
      </c>
    </row>
    <row r="14" spans="1:4" x14ac:dyDescent="0.25">
      <c r="A14" s="5">
        <v>40906325</v>
      </c>
      <c r="B14" s="5">
        <v>0</v>
      </c>
      <c r="C14" s="5">
        <v>0</v>
      </c>
    </row>
    <row r="15" spans="1:4" x14ac:dyDescent="0.25">
      <c r="A15" s="1">
        <v>40410537</v>
      </c>
      <c r="B15" s="1">
        <v>0</v>
      </c>
      <c r="C15" s="1">
        <v>0</v>
      </c>
    </row>
    <row r="23" spans="6:6" x14ac:dyDescent="0.25">
      <c r="F23" s="1" t="str">
        <f>_xlfn.TEXTJOIN(",",TRUE,A2:A15)</f>
        <v>40412494,40899626,40479620,40397470,40755230,40720058,40645660,40615599,40554387,40447230,40450573,40174692,40906325,40410537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2CC9-DEC4-43C3-BFF8-C334E52F2326}">
  <dimension ref="A1:I11"/>
  <sheetViews>
    <sheetView topLeftCell="B1" zoomScale="205" zoomScaleNormal="205" workbookViewId="0">
      <selection activeCell="D1" sqref="D1"/>
    </sheetView>
  </sheetViews>
  <sheetFormatPr defaultColWidth="12.42578125" defaultRowHeight="15" x14ac:dyDescent="0.25"/>
  <cols>
    <col min="1" max="1" width="20.5703125" style="3" bestFit="1" customWidth="1"/>
    <col min="2" max="2" width="13.42578125" style="3" bestFit="1" customWidth="1"/>
    <col min="3" max="3" width="1.85546875" style="3" bestFit="1" customWidth="1"/>
    <col min="4" max="4" width="4.85546875" style="3" bestFit="1" customWidth="1"/>
    <col min="5" max="16384" width="12.42578125" style="3"/>
  </cols>
  <sheetData>
    <row r="1" spans="1:9" x14ac:dyDescent="0.25">
      <c r="A1" s="2" t="s">
        <v>5</v>
      </c>
      <c r="B1" s="2" t="s">
        <v>10</v>
      </c>
      <c r="G1" s="4" t="s">
        <v>8</v>
      </c>
      <c r="H1" s="4" t="s">
        <v>6</v>
      </c>
      <c r="I1" s="4" t="s">
        <v>7</v>
      </c>
    </row>
    <row r="2" spans="1:9" x14ac:dyDescent="0.25">
      <c r="A2" s="2" t="s">
        <v>9</v>
      </c>
      <c r="B2" s="3">
        <v>0</v>
      </c>
      <c r="C2" s="3">
        <v>1</v>
      </c>
      <c r="D2" s="3" t="s">
        <v>11</v>
      </c>
      <c r="G2" s="3">
        <f>(B3+C4)/D5</f>
        <v>0.9285714285714286</v>
      </c>
      <c r="H2" s="3">
        <f>C4/C5</f>
        <v>1</v>
      </c>
      <c r="I2" s="3">
        <f>C4/D4</f>
        <v>0.83333333333333337</v>
      </c>
    </row>
    <row r="3" spans="1:9" x14ac:dyDescent="0.25">
      <c r="A3" s="3">
        <v>0</v>
      </c>
      <c r="B3" s="3">
        <v>8</v>
      </c>
      <c r="D3" s="3">
        <v>8</v>
      </c>
    </row>
    <row r="4" spans="1:9" x14ac:dyDescent="0.25">
      <c r="A4" s="3">
        <v>1</v>
      </c>
      <c r="B4" s="3">
        <v>1</v>
      </c>
      <c r="C4" s="3">
        <v>5</v>
      </c>
      <c r="D4" s="3">
        <v>6</v>
      </c>
    </row>
    <row r="5" spans="1:9" x14ac:dyDescent="0.25">
      <c r="A5" s="3" t="s">
        <v>11</v>
      </c>
      <c r="B5" s="3">
        <v>9</v>
      </c>
      <c r="C5" s="3">
        <v>5</v>
      </c>
      <c r="D5" s="3">
        <v>14</v>
      </c>
    </row>
    <row r="6" spans="1:9" x14ac:dyDescent="0.25">
      <c r="A6"/>
      <c r="B6"/>
      <c r="C6"/>
      <c r="D6"/>
    </row>
    <row r="10" spans="1:9" x14ac:dyDescent="0.25">
      <c r="G10" s="4" t="s">
        <v>8</v>
      </c>
      <c r="H10" s="4" t="s">
        <v>6</v>
      </c>
      <c r="I10" s="4" t="s">
        <v>7</v>
      </c>
    </row>
    <row r="11" spans="1:9" x14ac:dyDescent="0.25">
      <c r="G11" s="3" t="s">
        <v>12</v>
      </c>
      <c r="H11" s="3" t="s">
        <v>13</v>
      </c>
      <c r="I1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Papagiannopoulos</dc:creator>
  <cp:lastModifiedBy>ΧΡΗΣΤΟΣ ΠΑΠΑΓΙΑΝΝΟΠΟΥΛΟΣ</cp:lastModifiedBy>
  <dcterms:created xsi:type="dcterms:W3CDTF">2025-11-01T10:16:19Z</dcterms:created>
  <dcterms:modified xsi:type="dcterms:W3CDTF">2025-11-03T19:32:56Z</dcterms:modified>
</cp:coreProperties>
</file>